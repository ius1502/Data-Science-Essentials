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195287227DDB0F/Documents/"/>
    </mc:Choice>
  </mc:AlternateContent>
  <xr:revisionPtr revIDLastSave="589" documentId="8_{B0CEBAF9-9421-4E8B-A119-C75CADCABC11}" xr6:coauthVersionLast="47" xr6:coauthVersionMax="47" xr10:uidLastSave="{6181F110-42DD-4800-A70C-30CF6986021C}"/>
  <bookViews>
    <workbookView xWindow="-108" yWindow="-108" windowWidth="23256" windowHeight="12456" activeTab="3" xr2:uid="{83A1DED4-F2C6-4E3C-A045-961387F81492}"/>
  </bookViews>
  <sheets>
    <sheet name="Raw Data" sheetId="1" r:id="rId1"/>
    <sheet name=" Q1-VLOOKUP" sheetId="3" r:id="rId2"/>
    <sheet name="Q2-HLOOKUP" sheetId="4" r:id="rId3"/>
    <sheet name=" Horizontal &amp; vertcal table" sheetId="2" r:id="rId4"/>
  </sheets>
  <definedNames>
    <definedName name="_xlnm._FilterDatabase" localSheetId="3" hidden="1">' Horizontal &amp; vertcal table'!#REF!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B11" i="4"/>
  <c r="B5" i="4"/>
  <c r="B21" i="3"/>
  <c r="B12" i="3"/>
  <c r="B28" i="3" a="1"/>
  <c r="B28" i="3" s="1"/>
  <c r="B5" i="3"/>
  <c r="C2" i="2" a="1"/>
  <c r="C2" i="2" s="1"/>
  <c r="C7" i="2" a="1"/>
  <c r="C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<sst xmlns="http://schemas.openxmlformats.org/spreadsheetml/2006/main" count="181" uniqueCount="96">
  <si>
    <t>Department Name</t>
  </si>
  <si>
    <t>Science</t>
  </si>
  <si>
    <t>Dr. Emily Roberts</t>
  </si>
  <si>
    <t>Mathematics</t>
  </si>
  <si>
    <t>Prof. Mark Johnson</t>
  </si>
  <si>
    <t>English</t>
  </si>
  <si>
    <t>Ms. Claire Bennett</t>
  </si>
  <si>
    <t>History</t>
  </si>
  <si>
    <t>Dr. James Mitchell</t>
  </si>
  <si>
    <t>Art</t>
  </si>
  <si>
    <t>Mrs. Sophia Harris</t>
  </si>
  <si>
    <t>Name of HOD</t>
  </si>
  <si>
    <t>Physics, Chemistry, Biology</t>
  </si>
  <si>
    <t>Algebra, Calculus, Statistics</t>
  </si>
  <si>
    <t>Literature, Grammar, Composition</t>
  </si>
  <si>
    <t>World History, Ancient Civilizations, Modern History</t>
  </si>
  <si>
    <t>Painting, Sculpture, Digital Art</t>
  </si>
  <si>
    <t>Name</t>
  </si>
  <si>
    <t>Department ID</t>
  </si>
  <si>
    <t>Class Teacher</t>
  </si>
  <si>
    <t>John Doe</t>
  </si>
  <si>
    <t>D01</t>
  </si>
  <si>
    <t>Mr. Smith</t>
  </si>
  <si>
    <t>Jane Smith</t>
  </si>
  <si>
    <t>D02</t>
  </si>
  <si>
    <t>Mrs. Johnson</t>
  </si>
  <si>
    <t>Alex Brown</t>
  </si>
  <si>
    <t>D03</t>
  </si>
  <si>
    <t>Mr. Taylor</t>
  </si>
  <si>
    <t>Emma White</t>
  </si>
  <si>
    <t>D04</t>
  </si>
  <si>
    <t>Mrs. Lee</t>
  </si>
  <si>
    <t>Olivia Green</t>
  </si>
  <si>
    <t>D05</t>
  </si>
  <si>
    <t>Mr. Clark</t>
  </si>
  <si>
    <t>William Gray</t>
  </si>
  <si>
    <t>Ms. Roberts</t>
  </si>
  <si>
    <t>Ava Black</t>
  </si>
  <si>
    <t>Mr. Edwards</t>
  </si>
  <si>
    <t>Ryan Blue</t>
  </si>
  <si>
    <t>Mrs. Kelly</t>
  </si>
  <si>
    <t>Zoe White</t>
  </si>
  <si>
    <t>Mr. Miller</t>
  </si>
  <si>
    <t>Lily Brown</t>
  </si>
  <si>
    <t>Mrs. Turner</t>
  </si>
  <si>
    <t>HOD</t>
  </si>
  <si>
    <t>Computer Science</t>
  </si>
  <si>
    <t>Dr. Alan Fitzgerald</t>
  </si>
  <si>
    <t>Psychology</t>
  </si>
  <si>
    <t>Prof. Sarah Williams</t>
  </si>
  <si>
    <t>Philosophy</t>
  </si>
  <si>
    <t>Dr. Thomas Anderson</t>
  </si>
  <si>
    <t>Business Studies</t>
  </si>
  <si>
    <t>Mrs. Nancy Walker</t>
  </si>
  <si>
    <t>Economics</t>
  </si>
  <si>
    <t>Mr. Richard Moore</t>
  </si>
  <si>
    <t>Major Subject</t>
  </si>
  <si>
    <t>Programming, Data Structures, Algorithms</t>
  </si>
  <si>
    <t>Cognitive Psychology, Behavioral Psychology, Social Psychology</t>
  </si>
  <si>
    <t>Ethics, Metaphysics, Logic</t>
  </si>
  <si>
    <t>Marketing, Finance, Organizational Behavior</t>
  </si>
  <si>
    <t>Microeconomics, Macroeconomics, International Economics</t>
  </si>
  <si>
    <t>Duration of Course (Years)</t>
  </si>
  <si>
    <t>DEPARTMENT DETAILS</t>
  </si>
  <si>
    <t xml:space="preserve"> </t>
  </si>
  <si>
    <t>Credits</t>
  </si>
  <si>
    <t>STUDENTS</t>
  </si>
  <si>
    <t>HOD &amp; DEPARTMENT</t>
  </si>
  <si>
    <t>MAJOR SUBJECT &amp; DETAILS</t>
  </si>
  <si>
    <t>NAME OF STUDENTS</t>
  </si>
  <si>
    <t>DURATION</t>
  </si>
  <si>
    <t>Name of student</t>
  </si>
  <si>
    <t>department id</t>
  </si>
  <si>
    <t>credit</t>
  </si>
  <si>
    <t>Table 1</t>
  </si>
  <si>
    <t>Table 2</t>
  </si>
  <si>
    <t>Table 3</t>
  </si>
  <si>
    <t>Table 4</t>
  </si>
  <si>
    <t>Prepare a Vlookup and find the total duration for which the student will be engaged in the class to get their respective subject?</t>
  </si>
  <si>
    <t>Department name</t>
  </si>
  <si>
    <t>Question 1(i)</t>
  </si>
  <si>
    <t>Question 1(ii)</t>
  </si>
  <si>
    <t>Question 1(iii)</t>
  </si>
  <si>
    <t>Question 1 (iv)</t>
  </si>
  <si>
    <t>Using name of student ,find the HOD?</t>
  </si>
  <si>
    <t>Using department ID &amp; find the major</t>
  </si>
  <si>
    <t>Using credit find the name of department?</t>
  </si>
  <si>
    <t>Duration of course</t>
  </si>
  <si>
    <t>Question1(ii)</t>
  </si>
  <si>
    <t>Using Name of student,find HOD?</t>
  </si>
  <si>
    <t>Zoe white</t>
  </si>
  <si>
    <t>Question1(iii)</t>
  </si>
  <si>
    <t>Using department id ,find the major subject?</t>
  </si>
  <si>
    <t>Dept.id</t>
  </si>
  <si>
    <t>Major subject</t>
  </si>
  <si>
    <t>Ava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</si>
</sst>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4" tint="0.39997558519241921"/>
      <name val="Aptos Narrow"/>
      <family val="2"/>
      <scheme val="minor"/>
    </font>
    <font>
      <b/>
      <sz val="28"/>
      <color theme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8" tint="-0.499984740745262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4" tint="-0.249977111117893"/>
      <name val="Arial Black"/>
      <family val="2"/>
    </font>
    <font>
      <sz val="11"/>
      <color theme="4" tint="-0.249977111117893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theme="6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16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10" borderId="3" xfId="1" applyBorder="1"/>
    <xf numFmtId="0" fontId="4" fillId="12" borderId="3" xfId="1" applyFont="1" applyFill="1" applyBorder="1"/>
    <xf numFmtId="0" fontId="10" fillId="11" borderId="3" xfId="2" applyBorder="1"/>
    <xf numFmtId="0" fontId="12" fillId="13" borderId="3" xfId="2" applyFont="1" applyFill="1" applyBorder="1"/>
    <xf numFmtId="0" fontId="0" fillId="0" borderId="0" xfId="0" applyAlignment="1">
      <alignment wrapText="1"/>
    </xf>
    <xf numFmtId="0" fontId="2" fillId="1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center" vertical="center" wrapText="1"/>
    </xf>
    <xf numFmtId="0" fontId="0" fillId="15" borderId="12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6" borderId="6" xfId="0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16" fillId="17" borderId="10" xfId="0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/>
    <xf numFmtId="0" fontId="1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/>
    <xf numFmtId="0" fontId="14" fillId="0" borderId="0" xfId="0" applyFont="1" applyAlignment="1"/>
    <xf numFmtId="0" fontId="3" fillId="0" borderId="12" xfId="0" applyFont="1" applyBorder="1"/>
    <xf numFmtId="0" fontId="3" fillId="0" borderId="13" xfId="0" applyFont="1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/>
    </xf>
    <xf numFmtId="0" fontId="2" fillId="0" borderId="13" xfId="0" applyFont="1" applyBorder="1" applyAlignment="1">
      <alignment horizontal="center"/>
    </xf>
    <xf numFmtId="0" fontId="0" fillId="18" borderId="14" xfId="0" applyFont="1" applyFill="1" applyBorder="1" applyAlignment="1">
      <alignment horizontal="center" vertical="center"/>
    </xf>
  </cellXfs>
  <cellStyles count="3">
    <cellStyle name="60% - Accent4" xfId="1" builtinId="44"/>
    <cellStyle name="60% - Accent6" xfId="2" builtinId="52"/>
    <cellStyle name="Normal" xfId="0" builtinId="0"/>
  </cellStyles>
  <dxfs count="6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7" tint="0.79998168889431442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7FF0B-1951-429E-81A0-021FBE4AAB29}" name="Table1" displayName="Table1" ref="A2:C12" dataDxfId="59">
  <autoFilter ref="A2:C12" xr:uid="{C1E7FF0B-1951-429E-81A0-021FBE4AAB29}">
    <filterColumn colId="0" hiddenButton="1"/>
    <filterColumn colId="1" hiddenButton="1"/>
    <filterColumn colId="2" hiddenButton="1"/>
  </autoFilter>
  <tableColumns count="3">
    <tableColumn id="1" xr3:uid="{5CAEBE22-E489-440D-B841-728B4D14607C}" name="Name" totalsRowLabel="Total" dataDxfId="58"/>
    <tableColumn id="2" xr3:uid="{8F375009-88C1-4C17-97BE-80EA573B733F}" name="Department ID" dataDxfId="57"/>
    <tableColumn id="3" xr3:uid="{62651489-AD98-4ACB-81BA-F50429C7E5CD}" name="Class Teacher" totalsRowFunction="count" dataDxfId="56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53B502-67D2-4241-B3C3-6047294582F3}" name="Table5" displayName="Table5" ref="H2:J12" totalsRowShown="0" headerRowDxfId="55" dataDxfId="54">
  <tableColumns count="3">
    <tableColumn id="1" xr3:uid="{EC6822F4-D74E-4757-92AF-47F4A8D230F6}" name="Name of HOD" dataDxfId="53"/>
    <tableColumn id="4" xr3:uid="{D3DD0110-20C3-4C5D-94DF-115B211D503C}" name="Department Name" dataDxfId="52"/>
    <tableColumn id="2" xr3:uid="{02178F74-6B57-447D-ADEA-0A58FECD6626}" name="Major Subject" dataDxfId="5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B19E65-93F6-46BE-9CF2-A40D5AD818D3}" name="Table6" displayName="Table6" ref="M2:N12" totalsRowShown="0" headerRowDxfId="50" dataDxfId="49">
  <tableColumns count="2">
    <tableColumn id="1" xr3:uid="{616293E9-70E3-41B7-9103-BBC0C91D8DAD}" name="Credits" dataDxfId="48"/>
    <tableColumn id="2" xr3:uid="{2DE0C79C-62F1-478B-9EEC-9761771898B5}" name="Duration of Course (Years)" dataDxfId="4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5E1879-D8D7-4BD9-95E5-6574B8E33FD5}" name="Table7" displayName="Table7" ref="A11:B12" totalsRowShown="0" headerRowDxfId="46" headerRowBorderDxfId="45" tableBorderDxfId="44" totalsRowBorderDxfId="43">
  <autoFilter ref="A11:B12" xr:uid="{D65E1879-D8D7-4BD9-95E5-6574B8E33FD5}">
    <filterColumn colId="0" hiddenButton="1"/>
    <filterColumn colId="1" hiddenButton="1"/>
  </autoFilter>
  <tableColumns count="2">
    <tableColumn id="1" xr3:uid="{F1B516E5-6195-4AE4-B5B4-39758ECAD22F}" name="Name of student" dataDxfId="42"/>
    <tableColumn id="2" xr3:uid="{48807993-47B0-4926-A9FD-FEB9F7FAFBAC}" name="HOD" dataDxfId="41">
      <calculatedColumnFormula>VLOOKUP(VLOOKUP(A12,Table1[#All],2,0),'Raw Data'!E2:F7,2,0)</calculatedColumnFormula>
    </tableColumn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B9A78B-4595-4A7C-8E92-A7C3BAC80256}" name="Table11" displayName="Table11" ref="A20:B20" headerRowCount="0" totalsRowShown="0" headerRowDxfId="40" dataDxfId="39" tableBorderDxfId="38">
  <tableColumns count="2">
    <tableColumn id="1" xr3:uid="{2FFF5974-4C3A-480A-9DFF-BAFC36084A93}" name="Column1" headerRowDxfId="37" dataDxfId="36"/>
    <tableColumn id="2" xr3:uid="{74168667-B0A2-4C38-A2F2-33BD64450844}" name="Column2" headerRowDxfId="35" dataDxfId="34"/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EC57D1-2A06-4FC7-889E-4451B8739AAF}" name="Table12" displayName="Table12" ref="A27:B28" totalsRowShown="0" headerRowDxfId="33" dataDxfId="31" headerRowBorderDxfId="32" tableBorderDxfId="30" totalsRowBorderDxfId="29">
  <autoFilter ref="A27:B28" xr:uid="{C7EC57D1-2A06-4FC7-889E-4451B8739AAF}">
    <filterColumn colId="0" hiddenButton="1"/>
    <filterColumn colId="1" hiddenButton="1"/>
  </autoFilter>
  <tableColumns count="2">
    <tableColumn id="1" xr3:uid="{67F48F63-220B-443F-B1B1-E4B0DA039FCB}" name="credit" dataDxfId="28"/>
    <tableColumn id="2" xr3:uid="{2FBF96E1-DF50-4EE5-95E8-D7CB2B98F79B}" name="Department name" dataDxfId="27">
      <calculatedColumnFormula array="1">_xlfn.XLOOKUP(_xlfn.XLOOKUP(A28,Table6[[#All],[Credits]],'Raw Data'!L2:L12,,0),Table5[[#All],[Major Subject]],Table5[[#All],[Department Name]],,0)</calculatedColumn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644E21-F857-4511-A57A-515EA6B92F1C}" name="Table4" displayName="Table4" ref="A16:B17" headerRowDxfId="12" headerRowBorderDxfId="16" tableBorderDxfId="17" totalsRowBorderDxfId="15">
  <autoFilter ref="A16:B17" xr:uid="{A8644E21-F857-4511-A57A-515EA6B92F1C}">
    <filterColumn colId="0" hiddenButton="1"/>
    <filterColumn colId="1" hiddenButton="1"/>
  </autoFilter>
  <tableColumns count="2">
    <tableColumn id="1" xr3:uid="{DE87EFA8-017A-44D3-9139-73F8148A3A96}" name="Dept.id" totalsRowLabel="Total" dataDxfId="14" totalsRowDxfId="10"/>
    <tableColumn id="2" xr3:uid="{366C81B9-CA07-4031-8B94-26B58F65284E}" name="Major subject" dataDxfId="13" totalsRowDxfId="11">
      <calculatedColumnFormula>VLOOKUP(HLOOKUP(A17,' Horizontal &amp; vertcal table'!C7:I8,2,0),' Horizontal &amp; vertcal table'!C19:E29,3,0)</calculatedColumnFormula>
    </tableColumn>
  </tableColumns>
  <tableStyleInfo name="TableStyleMedium1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2D5F14-3A12-43C8-B10A-6F220EBD40DD}" name="Table8" displayName="Table8" ref="A10:B11" totalsRowShown="0" headerRowBorderDxfId="8" tableBorderDxfId="9" totalsRowBorderDxfId="7">
  <autoFilter ref="A10:B11" xr:uid="{412D5F14-3A12-43C8-B10A-6F220EBD40DD}">
    <filterColumn colId="0" hiddenButton="1"/>
    <filterColumn colId="1" hiddenButton="1"/>
  </autoFilter>
  <tableColumns count="2">
    <tableColumn id="1" xr3:uid="{3137BF14-4FD9-45D6-AC86-DFF75D986888}" name="Name" dataDxfId="6"/>
    <tableColumn id="2" xr3:uid="{91F179A6-B95A-4275-BA5D-EBD99EAF1272}" name="HOD" dataDxfId="5">
      <calculatedColumnFormula>HLOOKUP(HLOOKUP(A11,' Horizontal &amp; vertcal table'!C2:N4,2,0),' Horizontal &amp; vertcal table'!C7:I8,2,0)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9DA2082-79F8-42CC-8B02-88DFAA58B1C7}" name="Table10" displayName="Table10" ref="A4:B5" totalsRowShown="0" headerRowBorderDxfId="3" tableBorderDxfId="4" totalsRowBorderDxfId="2">
  <autoFilter ref="A4:B5" xr:uid="{59DA2082-79F8-42CC-8B02-88DFAA58B1C7}">
    <filterColumn colId="0" hiddenButton="1"/>
    <filterColumn colId="1" hiddenButton="1"/>
  </autoFilter>
  <tableColumns count="2">
    <tableColumn id="1" xr3:uid="{72EF0BE3-C1F0-4181-9384-A164FB40E0E5}" name="Name" dataDxfId="1"/>
    <tableColumn id="2" xr3:uid="{8AB486D7-AD8B-41EB-9623-BD8ED54F045B}" name="Duration of course" dataDxfId="0">
      <calculatedColumnFormula>VLOOKUP(VLOOKUP(HLOOKUP(HLOOKUP('Q2-HLOOKUP'!A5,' Horizontal &amp; vertcal table'!C2:N4,2,0),' Horizontal &amp; vertcal table'!C7:I8,2,0),Table53[#All],3,0),' Horizontal &amp; vertcal table'!L19:N29,3,0)</calculatedColumnFormula>
    </tableColumn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1E931E-18EC-4516-9F36-7FED066F51AA}" name="Table53" displayName="Table53" ref="C19:E29" totalsRowShown="0" headerRowDxfId="26" dataDxfId="25">
  <tableColumns count="3">
    <tableColumn id="1" xr3:uid="{5E2082DF-A04F-459F-AF1E-74EFCD552060}" name="Name of HOD" dataDxfId="24"/>
    <tableColumn id="4" xr3:uid="{C6A9808B-D1B5-417B-9F16-8D01EEC37976}" name="Department Name" dataDxfId="23"/>
    <tableColumn id="2" xr3:uid="{77FC5C14-2BEF-4081-9CB9-7F3CF35F86D2}" name="Major Subject" dataDxfId="22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86DE42-0353-40F8-864F-8A0016FBA438}" name="Table64" displayName="Table64" ref="M19:N29" totalsRowShown="0" headerRowDxfId="21" dataDxfId="20">
  <tableColumns count="2">
    <tableColumn id="1" xr3:uid="{B99B7714-336C-4367-AC29-CF9E4FC65797}" name="Credits" dataDxfId="19"/>
    <tableColumn id="2" xr3:uid="{8B56A7F1-48F9-4C28-97B9-B2586FFEFCC8}" name="Duration of Course (Years)" dataDxfId="1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48AD-9D0C-43B6-9067-8A7D565B97C2}">
  <dimension ref="A1:N22"/>
  <sheetViews>
    <sheetView zoomScale="70" workbookViewId="0">
      <selection activeCell="A9" sqref="A9"/>
    </sheetView>
  </sheetViews>
  <sheetFormatPr defaultRowHeight="14.4" x14ac:dyDescent="0.3"/>
  <cols>
    <col min="1" max="1" width="12" customWidth="1"/>
    <col min="2" max="2" width="13.21875" bestFit="1" customWidth="1"/>
    <col min="3" max="3" width="12.44140625" bestFit="1" customWidth="1"/>
    <col min="5" max="5" width="16.44140625" bestFit="1" customWidth="1"/>
    <col min="6" max="6" width="27.88671875" customWidth="1"/>
    <col min="8" max="8" width="16.21875" bestFit="1" customWidth="1"/>
    <col min="9" max="9" width="16.21875" style="4" customWidth="1"/>
    <col min="10" max="10" width="35.21875" bestFit="1" customWidth="1"/>
    <col min="11" max="11" width="15.77734375" customWidth="1"/>
    <col min="12" max="12" width="44.21875" bestFit="1" customWidth="1"/>
    <col min="13" max="13" width="7.21875" bestFit="1" customWidth="1"/>
    <col min="14" max="14" width="17.109375" bestFit="1" customWidth="1"/>
    <col min="15" max="15" width="24.21875" customWidth="1"/>
  </cols>
  <sheetData>
    <row r="1" spans="1:14" ht="21.6" customHeight="1" x14ac:dyDescent="0.3">
      <c r="A1" s="53" t="s">
        <v>66</v>
      </c>
      <c r="B1" s="53"/>
      <c r="C1" s="54"/>
      <c r="E1" s="55" t="s">
        <v>63</v>
      </c>
      <c r="F1" s="55"/>
      <c r="H1" s="56" t="s">
        <v>67</v>
      </c>
      <c r="I1" s="56"/>
      <c r="J1" s="56"/>
      <c r="L1" s="57" t="s">
        <v>68</v>
      </c>
      <c r="M1" s="57"/>
      <c r="N1" s="57"/>
    </row>
    <row r="2" spans="1:14" ht="28.8" x14ac:dyDescent="0.3">
      <c r="A2" s="4" t="s">
        <v>17</v>
      </c>
      <c r="B2" s="4" t="s">
        <v>18</v>
      </c>
      <c r="C2" s="4" t="s">
        <v>19</v>
      </c>
      <c r="D2" s="1"/>
      <c r="E2" s="11" t="s">
        <v>18</v>
      </c>
      <c r="F2" s="12" t="s">
        <v>45</v>
      </c>
      <c r="H2" s="4" t="s">
        <v>11</v>
      </c>
      <c r="I2" s="4" t="s">
        <v>0</v>
      </c>
      <c r="J2" s="4" t="s">
        <v>56</v>
      </c>
      <c r="K2" s="4"/>
      <c r="L2" s="6" t="s">
        <v>56</v>
      </c>
      <c r="M2" s="4" t="s">
        <v>65</v>
      </c>
      <c r="N2" s="4" t="s">
        <v>62</v>
      </c>
    </row>
    <row r="3" spans="1:14" ht="21" customHeight="1" x14ac:dyDescent="0.3">
      <c r="A3" s="3" t="s">
        <v>20</v>
      </c>
      <c r="B3" s="3" t="s">
        <v>21</v>
      </c>
      <c r="C3" s="3" t="s">
        <v>22</v>
      </c>
      <c r="D3" s="2"/>
      <c r="E3" s="13" t="s">
        <v>21</v>
      </c>
      <c r="F3" s="14" t="s">
        <v>2</v>
      </c>
      <c r="G3" s="2"/>
      <c r="H3" s="3" t="s">
        <v>2</v>
      </c>
      <c r="I3" s="4" t="s">
        <v>1</v>
      </c>
      <c r="J3" s="3" t="s">
        <v>12</v>
      </c>
      <c r="K3" s="3"/>
      <c r="L3" s="7" t="s">
        <v>12</v>
      </c>
      <c r="M3" s="3">
        <v>5</v>
      </c>
      <c r="N3" s="3">
        <v>3</v>
      </c>
    </row>
    <row r="4" spans="1:14" ht="27" customHeight="1" x14ac:dyDescent="0.3">
      <c r="A4" s="3" t="s">
        <v>23</v>
      </c>
      <c r="B4" s="3" t="s">
        <v>24</v>
      </c>
      <c r="C4" s="3" t="s">
        <v>25</v>
      </c>
      <c r="D4" s="2"/>
      <c r="E4" s="15" t="s">
        <v>24</v>
      </c>
      <c r="F4" s="16" t="s">
        <v>4</v>
      </c>
      <c r="G4" s="2"/>
      <c r="H4" s="3" t="s">
        <v>6</v>
      </c>
      <c r="I4" s="4" t="s">
        <v>3</v>
      </c>
      <c r="J4" s="3" t="s">
        <v>14</v>
      </c>
      <c r="K4" s="3"/>
      <c r="L4" s="8" t="s">
        <v>14</v>
      </c>
      <c r="M4" s="3">
        <v>8</v>
      </c>
      <c r="N4" s="3">
        <v>4</v>
      </c>
    </row>
    <row r="5" spans="1:14" ht="27.6" customHeight="1" x14ac:dyDescent="0.3">
      <c r="A5" s="3" t="s">
        <v>26</v>
      </c>
      <c r="B5" s="3" t="s">
        <v>27</v>
      </c>
      <c r="C5" s="3" t="s">
        <v>28</v>
      </c>
      <c r="D5" s="2"/>
      <c r="E5" s="13" t="s">
        <v>27</v>
      </c>
      <c r="F5" s="14" t="s">
        <v>6</v>
      </c>
      <c r="G5" s="2"/>
      <c r="H5" s="3" t="s">
        <v>4</v>
      </c>
      <c r="I5" s="4" t="s">
        <v>5</v>
      </c>
      <c r="J5" s="3" t="s">
        <v>13</v>
      </c>
      <c r="K5" s="3"/>
      <c r="L5" s="7" t="s">
        <v>13</v>
      </c>
      <c r="M5" s="3">
        <v>7</v>
      </c>
      <c r="N5" s="3">
        <v>3</v>
      </c>
    </row>
    <row r="6" spans="1:14" ht="27.6" customHeight="1" x14ac:dyDescent="0.3">
      <c r="A6" s="3" t="s">
        <v>29</v>
      </c>
      <c r="B6" s="3" t="s">
        <v>30</v>
      </c>
      <c r="C6" s="3" t="s">
        <v>31</v>
      </c>
      <c r="D6" s="2"/>
      <c r="E6" s="15" t="s">
        <v>30</v>
      </c>
      <c r="F6" s="16" t="s">
        <v>8</v>
      </c>
      <c r="G6" s="2"/>
      <c r="H6" s="3" t="s">
        <v>8</v>
      </c>
      <c r="I6" s="4" t="s">
        <v>7</v>
      </c>
      <c r="J6" s="3" t="s">
        <v>15</v>
      </c>
      <c r="K6" s="3"/>
      <c r="L6" s="8" t="s">
        <v>15</v>
      </c>
      <c r="M6" s="3">
        <v>2</v>
      </c>
      <c r="N6" s="3">
        <v>4</v>
      </c>
    </row>
    <row r="7" spans="1:14" ht="31.8" customHeight="1" x14ac:dyDescent="0.3">
      <c r="A7" s="3" t="s">
        <v>32</v>
      </c>
      <c r="B7" s="3" t="s">
        <v>33</v>
      </c>
      <c r="C7" s="3" t="s">
        <v>34</v>
      </c>
      <c r="D7" s="2"/>
      <c r="E7" s="13" t="s">
        <v>33</v>
      </c>
      <c r="F7" s="14" t="s">
        <v>10</v>
      </c>
      <c r="G7" s="2"/>
      <c r="H7" s="3" t="s">
        <v>10</v>
      </c>
      <c r="I7" s="4" t="s">
        <v>9</v>
      </c>
      <c r="J7" s="3" t="s">
        <v>16</v>
      </c>
      <c r="K7" s="3"/>
      <c r="L7" s="7" t="s">
        <v>16</v>
      </c>
      <c r="M7" s="3">
        <v>3</v>
      </c>
      <c r="N7" s="3">
        <v>3</v>
      </c>
    </row>
    <row r="8" spans="1:14" ht="35.4" customHeight="1" x14ac:dyDescent="0.3">
      <c r="A8" s="3" t="s">
        <v>35</v>
      </c>
      <c r="B8" s="3" t="s">
        <v>21</v>
      </c>
      <c r="C8" s="3" t="s">
        <v>36</v>
      </c>
      <c r="D8" s="2"/>
      <c r="G8" s="2"/>
      <c r="H8" s="3" t="s">
        <v>47</v>
      </c>
      <c r="I8" s="4" t="s">
        <v>46</v>
      </c>
      <c r="J8" s="3" t="s">
        <v>57</v>
      </c>
      <c r="K8" s="3"/>
      <c r="L8" s="8" t="s">
        <v>57</v>
      </c>
      <c r="M8" s="3">
        <v>9</v>
      </c>
      <c r="N8" s="3">
        <v>3</v>
      </c>
    </row>
    <row r="9" spans="1:14" ht="31.8" customHeight="1" x14ac:dyDescent="0.3">
      <c r="A9" s="3" t="s">
        <v>37</v>
      </c>
      <c r="B9" s="3" t="s">
        <v>24</v>
      </c>
      <c r="C9" s="3" t="s">
        <v>38</v>
      </c>
      <c r="D9" s="2"/>
      <c r="G9" s="2"/>
      <c r="H9" s="3" t="s">
        <v>49</v>
      </c>
      <c r="I9" s="4" t="s">
        <v>48</v>
      </c>
      <c r="J9" s="3" t="s">
        <v>58</v>
      </c>
      <c r="K9" s="3"/>
      <c r="L9" s="9" t="s">
        <v>58</v>
      </c>
      <c r="M9" s="3">
        <v>1</v>
      </c>
      <c r="N9" s="3">
        <v>4</v>
      </c>
    </row>
    <row r="10" spans="1:14" ht="25.8" customHeight="1" x14ac:dyDescent="0.3">
      <c r="A10" s="3" t="s">
        <v>39</v>
      </c>
      <c r="B10" s="3" t="s">
        <v>27</v>
      </c>
      <c r="C10" s="3" t="s">
        <v>40</v>
      </c>
      <c r="D10" s="2"/>
      <c r="G10" s="2"/>
      <c r="H10" s="3" t="s">
        <v>51</v>
      </c>
      <c r="I10" s="4" t="s">
        <v>50</v>
      </c>
      <c r="J10" s="3" t="s">
        <v>59</v>
      </c>
      <c r="K10" s="3"/>
      <c r="L10" s="10" t="s">
        <v>59</v>
      </c>
      <c r="M10" s="3">
        <v>10</v>
      </c>
      <c r="N10" s="3">
        <v>3</v>
      </c>
    </row>
    <row r="11" spans="1:14" ht="33" customHeight="1" x14ac:dyDescent="0.3">
      <c r="A11" s="3" t="s">
        <v>41</v>
      </c>
      <c r="B11" s="3" t="s">
        <v>30</v>
      </c>
      <c r="C11" s="3" t="s">
        <v>42</v>
      </c>
      <c r="D11" s="2"/>
      <c r="G11" s="2"/>
      <c r="H11" s="3" t="s">
        <v>53</v>
      </c>
      <c r="I11" s="4" t="s">
        <v>52</v>
      </c>
      <c r="J11" s="3" t="s">
        <v>60</v>
      </c>
      <c r="K11" s="3"/>
      <c r="L11" s="9" t="s">
        <v>60</v>
      </c>
      <c r="M11" s="3">
        <v>4</v>
      </c>
      <c r="N11" s="3">
        <v>4</v>
      </c>
    </row>
    <row r="12" spans="1:14" ht="30.6" customHeight="1" x14ac:dyDescent="0.3">
      <c r="A12" s="3" t="s">
        <v>43</v>
      </c>
      <c r="B12" s="3" t="s">
        <v>33</v>
      </c>
      <c r="C12" s="3" t="s">
        <v>44</v>
      </c>
      <c r="D12" s="2"/>
      <c r="G12" s="2"/>
      <c r="H12" s="3" t="s">
        <v>55</v>
      </c>
      <c r="I12" s="4" t="s">
        <v>54</v>
      </c>
      <c r="J12" s="3" t="s">
        <v>61</v>
      </c>
      <c r="K12" s="3"/>
      <c r="L12" s="10" t="s">
        <v>61</v>
      </c>
      <c r="M12" s="3">
        <v>6</v>
      </c>
      <c r="N12" s="3">
        <v>3</v>
      </c>
    </row>
    <row r="15" spans="1:14" x14ac:dyDescent="0.3">
      <c r="C15" s="52"/>
      <c r="E15" s="5"/>
      <c r="F15" s="5"/>
    </row>
    <row r="16" spans="1:14" x14ac:dyDescent="0.3">
      <c r="C16" s="52"/>
    </row>
    <row r="20" spans="4:10" x14ac:dyDescent="0.3">
      <c r="D20" t="s">
        <v>64</v>
      </c>
    </row>
    <row r="22" spans="4:10" x14ac:dyDescent="0.3">
      <c r="J22" t="s">
        <v>64</v>
      </c>
    </row>
  </sheetData>
  <mergeCells count="5">
    <mergeCell ref="C15:C16"/>
    <mergeCell ref="A1:C1"/>
    <mergeCell ref="E1:F1"/>
    <mergeCell ref="H1:J1"/>
    <mergeCell ref="L1:N1"/>
  </mergeCells>
  <phoneticPr fontId="5" type="noConversion"/>
  <pageMargins left="0.7" right="0.7" top="0.75" bottom="0.75" header="0.3" footer="0.3"/>
  <pageSetup orientation="portrait" r:id="rId1"/>
  <ignoredErrors>
    <ignoredError sqref="N4 N6 N3" twoDigitTextYear="1"/>
  </ignoredErrors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6DCF-5878-4107-9E7B-BD390C85A9B8}">
  <dimension ref="A1:J29"/>
  <sheetViews>
    <sheetView zoomScale="73" workbookViewId="0">
      <selection activeCell="E33" sqref="E33"/>
    </sheetView>
  </sheetViews>
  <sheetFormatPr defaultRowHeight="14.4" x14ac:dyDescent="0.3"/>
  <cols>
    <col min="1" max="1" width="20" style="19" customWidth="1"/>
    <col min="2" max="2" width="24.21875" style="19" customWidth="1"/>
    <col min="3" max="4" width="8.88671875" style="19"/>
    <col min="5" max="5" width="18.33203125" style="19" bestFit="1" customWidth="1"/>
    <col min="6" max="6" width="22.77734375" style="19" customWidth="1"/>
    <col min="7" max="7" width="13.6640625" style="37" customWidth="1"/>
    <col min="8" max="16384" width="8.88671875" style="19"/>
  </cols>
  <sheetData>
    <row r="1" spans="1:10" ht="28.2" customHeight="1" x14ac:dyDescent="0.3">
      <c r="A1" s="17" t="s">
        <v>80</v>
      </c>
      <c r="B1" s="18"/>
      <c r="E1" s="20"/>
    </row>
    <row r="2" spans="1:10" ht="15.6" customHeight="1" x14ac:dyDescent="0.3">
      <c r="A2" s="58" t="s">
        <v>78</v>
      </c>
      <c r="B2" s="58"/>
      <c r="C2" s="58"/>
      <c r="D2" s="58"/>
      <c r="E2" s="58"/>
      <c r="F2" s="58"/>
      <c r="G2" s="58"/>
      <c r="H2" s="58"/>
      <c r="I2" s="58"/>
    </row>
    <row r="3" spans="1:10" x14ac:dyDescent="0.3">
      <c r="A3" s="58"/>
      <c r="B3" s="58"/>
      <c r="C3" s="58"/>
      <c r="D3" s="58"/>
      <c r="E3" s="58"/>
      <c r="F3" s="58"/>
      <c r="G3" s="58"/>
      <c r="H3" s="58"/>
      <c r="I3" s="58"/>
    </row>
    <row r="4" spans="1:10" x14ac:dyDescent="0.3">
      <c r="A4" s="35" t="s">
        <v>69</v>
      </c>
      <c r="B4" s="35" t="s">
        <v>70</v>
      </c>
      <c r="E4" s="3"/>
      <c r="F4" s="3"/>
      <c r="G4" s="36"/>
    </row>
    <row r="5" spans="1:10" x14ac:dyDescent="0.3">
      <c r="A5" s="27" t="s">
        <v>23</v>
      </c>
      <c r="B5" s="27">
        <f>VLOOKUP(VLOOKUP(VLOOKUP(VLOOKUP(A5,Table1[#All],2,0),'Raw Data'!E2:F7,2,0),Table5[#All],3,0),'Raw Data'!L2:N12,3,0)</f>
        <v>3</v>
      </c>
      <c r="E5" s="3"/>
      <c r="F5" s="3"/>
      <c r="G5" s="36"/>
    </row>
    <row r="6" spans="1:10" x14ac:dyDescent="0.3">
      <c r="A6" s="3"/>
      <c r="B6" s="3"/>
      <c r="E6" s="3"/>
      <c r="F6" s="3"/>
      <c r="G6" s="36"/>
    </row>
    <row r="7" spans="1:10" x14ac:dyDescent="0.3">
      <c r="A7" s="3"/>
      <c r="B7" s="3"/>
      <c r="E7" s="3"/>
      <c r="F7" s="3"/>
      <c r="G7" s="36"/>
    </row>
    <row r="8" spans="1:10" ht="23.4" x14ac:dyDescent="0.3">
      <c r="A8" s="17" t="s">
        <v>81</v>
      </c>
      <c r="B8" s="3"/>
      <c r="E8" s="3"/>
      <c r="F8" s="3"/>
      <c r="G8" s="36"/>
    </row>
    <row r="9" spans="1:10" x14ac:dyDescent="0.3">
      <c r="A9" s="59" t="s">
        <v>84</v>
      </c>
      <c r="B9" s="60"/>
      <c r="C9" s="60"/>
      <c r="D9" s="60"/>
      <c r="E9" s="60"/>
      <c r="F9" s="60"/>
      <c r="G9" s="60"/>
      <c r="H9" s="60"/>
      <c r="I9" s="60"/>
      <c r="J9" s="60"/>
    </row>
    <row r="10" spans="1:10" ht="15.6" customHeight="1" x14ac:dyDescent="0.3">
      <c r="A10" s="60"/>
      <c r="B10" s="60"/>
      <c r="C10" s="60"/>
      <c r="D10" s="60"/>
      <c r="E10" s="60"/>
      <c r="F10" s="60"/>
      <c r="G10" s="60"/>
      <c r="H10" s="60"/>
      <c r="I10" s="60"/>
      <c r="J10" s="60"/>
    </row>
    <row r="11" spans="1:10" x14ac:dyDescent="0.3">
      <c r="A11" s="39" t="s">
        <v>71</v>
      </c>
      <c r="B11" s="40" t="s">
        <v>45</v>
      </c>
      <c r="E11" s="3"/>
      <c r="F11" s="3"/>
      <c r="G11" s="36"/>
    </row>
    <row r="12" spans="1:10" x14ac:dyDescent="0.3">
      <c r="A12" s="3" t="s">
        <v>43</v>
      </c>
      <c r="B12" s="38" t="str">
        <f>VLOOKUP(VLOOKUP(A12,Table1[#All],2,0),'Raw Data'!E2:F7,2,0)</f>
        <v>Mrs. Sophia Harris</v>
      </c>
      <c r="E12" s="3"/>
      <c r="F12" s="3"/>
      <c r="G12" s="36"/>
    </row>
    <row r="13" spans="1:10" x14ac:dyDescent="0.3">
      <c r="A13" s="3"/>
      <c r="B13" s="3"/>
      <c r="E13" s="3"/>
      <c r="F13" s="3"/>
      <c r="G13" s="36"/>
    </row>
    <row r="15" spans="1:10" x14ac:dyDescent="0.3">
      <c r="F15" s="45"/>
    </row>
    <row r="17" spans="1:7" ht="23.4" x14ac:dyDescent="0.3">
      <c r="A17" s="17" t="s">
        <v>82</v>
      </c>
      <c r="B17" s="61" t="s">
        <v>85</v>
      </c>
      <c r="C17" s="61"/>
      <c r="D17" s="61"/>
      <c r="E17" s="61"/>
      <c r="F17" s="61"/>
      <c r="G17" s="61"/>
    </row>
    <row r="19" spans="1:7" x14ac:dyDescent="0.3">
      <c r="A19"/>
      <c r="B19"/>
    </row>
    <row r="20" spans="1:7" ht="15.6" x14ac:dyDescent="0.3">
      <c r="A20" s="44" t="s">
        <v>72</v>
      </c>
      <c r="B20" s="44" t="s">
        <v>56</v>
      </c>
    </row>
    <row r="21" spans="1:7" ht="28.8" x14ac:dyDescent="0.3">
      <c r="A21" s="46" t="s">
        <v>21</v>
      </c>
      <c r="B21" s="43" t="str">
        <f>VLOOKUP(VLOOKUP(A21,'Raw Data'!E2:F7,2,0),Table5[#All],3,0)</f>
        <v>Physics, Chemistry, Biology</v>
      </c>
    </row>
    <row r="26" spans="1:7" ht="23.4" x14ac:dyDescent="0.3">
      <c r="A26" s="17" t="s">
        <v>83</v>
      </c>
      <c r="B26" s="61" t="s">
        <v>86</v>
      </c>
      <c r="C26" s="61"/>
      <c r="D26" s="61"/>
      <c r="E26" s="61"/>
      <c r="F26" s="61"/>
    </row>
    <row r="27" spans="1:7" x14ac:dyDescent="0.3">
      <c r="A27" s="42" t="s">
        <v>73</v>
      </c>
      <c r="B27" s="41" t="s">
        <v>79</v>
      </c>
      <c r="C27" s="29"/>
      <c r="D27" s="29"/>
    </row>
    <row r="28" spans="1:7" x14ac:dyDescent="0.3">
      <c r="A28" s="47">
        <v>7</v>
      </c>
      <c r="B28" s="48" t="str" cm="1">
        <f t="array" ref="B28">_xlfn.XLOOKUP(_xlfn.XLOOKUP(A28,Table6[[#All],[Credits]],'Raw Data'!L2:L12,,0),Table5[[#All],[Major Subject]],Table5[[#All],[Department Name]],,0)</f>
        <v>English</v>
      </c>
    </row>
    <row r="29" spans="1:7" x14ac:dyDescent="0.3">
      <c r="A29" s="28"/>
    </row>
  </sheetData>
  <mergeCells count="4">
    <mergeCell ref="A2:I3"/>
    <mergeCell ref="A9:J10"/>
    <mergeCell ref="B17:G17"/>
    <mergeCell ref="B26:F26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69F714-FFCB-4F08-ADDB-BA21F1B1700B}">
          <x14:formula1>
            <xm:f>'Raw Data'!$A$3:$A$12</xm:f>
          </x14:formula1>
          <xm:sqref>A5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78CB-E4EB-42D2-9E94-34D08885FCD4}">
  <dimension ref="A1:N19"/>
  <sheetViews>
    <sheetView workbookViewId="0">
      <selection activeCell="A6" sqref="A6"/>
    </sheetView>
  </sheetViews>
  <sheetFormatPr defaultRowHeight="14.4" x14ac:dyDescent="0.3"/>
  <cols>
    <col min="1" max="1" width="11.88671875" customWidth="1"/>
    <col min="2" max="2" width="28.33203125" customWidth="1"/>
    <col min="3" max="3" width="17.109375" customWidth="1"/>
  </cols>
  <sheetData>
    <row r="1" spans="1:14" ht="17.399999999999999" x14ac:dyDescent="0.45">
      <c r="A1" s="49" t="s">
        <v>80</v>
      </c>
      <c r="B1" s="50"/>
      <c r="F1" s="51"/>
    </row>
    <row r="2" spans="1:14" ht="15.6" x14ac:dyDescent="0.3">
      <c r="A2" s="62" t="s">
        <v>78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4" spans="1:14" ht="15.6" x14ac:dyDescent="0.3">
      <c r="A4" s="72" t="s">
        <v>17</v>
      </c>
      <c r="B4" s="76" t="s">
        <v>87</v>
      </c>
    </row>
    <row r="5" spans="1:14" x14ac:dyDescent="0.3">
      <c r="A5" s="77" t="s">
        <v>95</v>
      </c>
      <c r="B5" s="74">
        <f>VLOOKUP(VLOOKUP(HLOOKUP(HLOOKUP('Q2-HLOOKUP'!A5,' Horizontal &amp; vertcal table'!C2:N4,2,0),' Horizontal &amp; vertcal table'!C7:I8,2,0),Table53[#All],3,0),' Horizontal &amp; vertcal table'!L19:N29,3,0)</f>
        <v>3</v>
      </c>
    </row>
    <row r="7" spans="1:14" ht="18" x14ac:dyDescent="0.35">
      <c r="A7" s="67" t="s">
        <v>88</v>
      </c>
      <c r="B7" s="66"/>
    </row>
    <row r="8" spans="1:14" ht="15.6" x14ac:dyDescent="0.3">
      <c r="A8" s="62" t="s">
        <v>89</v>
      </c>
      <c r="B8" s="62"/>
      <c r="C8" s="62"/>
      <c r="D8" s="62"/>
      <c r="E8" s="62"/>
      <c r="F8" s="62"/>
      <c r="G8" s="62"/>
      <c r="H8" s="62"/>
    </row>
    <row r="10" spans="1:14" ht="15.6" x14ac:dyDescent="0.3">
      <c r="A10" s="72" t="s">
        <v>17</v>
      </c>
      <c r="B10" s="73" t="s">
        <v>45</v>
      </c>
    </row>
    <row r="11" spans="1:14" x14ac:dyDescent="0.3">
      <c r="A11" s="65" t="s">
        <v>90</v>
      </c>
      <c r="B11" s="75" t="str">
        <f>HLOOKUP(HLOOKUP(A11,' Horizontal &amp; vertcal table'!C2:N4,2,0),' Horizontal &amp; vertcal table'!C7:I8,2,0)</f>
        <v>Dr. James Mitchell</v>
      </c>
    </row>
    <row r="13" spans="1:14" ht="18" x14ac:dyDescent="0.35">
      <c r="A13" s="68" t="s">
        <v>91</v>
      </c>
      <c r="B13" s="69"/>
    </row>
    <row r="14" spans="1:14" ht="15.6" x14ac:dyDescent="0.3">
      <c r="A14" s="62" t="s">
        <v>92</v>
      </c>
      <c r="B14" s="62"/>
      <c r="C14" s="62"/>
      <c r="D14" s="62"/>
      <c r="E14" s="62"/>
      <c r="F14" s="62"/>
      <c r="G14" s="62"/>
      <c r="H14" s="62"/>
      <c r="I14" s="62"/>
      <c r="J14" s="62"/>
    </row>
    <row r="16" spans="1:14" ht="15.6" x14ac:dyDescent="0.3">
      <c r="A16" s="72" t="s">
        <v>93</v>
      </c>
      <c r="B16" s="73" t="s">
        <v>94</v>
      </c>
    </row>
    <row r="17" spans="1:2" x14ac:dyDescent="0.3">
      <c r="A17" s="65" t="s">
        <v>27</v>
      </c>
      <c r="B17" s="74" t="str">
        <f>VLOOKUP(HLOOKUP(A17,' Horizontal &amp; vertcal table'!C7:I8,2,0),' Horizontal &amp; vertcal table'!C19:E29,3,0)</f>
        <v>Literature, Grammar, Composition</v>
      </c>
    </row>
    <row r="19" spans="1:2" ht="18" x14ac:dyDescent="0.35">
      <c r="A19" s="70"/>
      <c r="B19" s="71"/>
    </row>
  </sheetData>
  <mergeCells count="5">
    <mergeCell ref="A13:B13"/>
    <mergeCell ref="A14:J14"/>
    <mergeCell ref="A2:N2"/>
    <mergeCell ref="A7:B7"/>
    <mergeCell ref="A8:H8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C796-A5DC-4A1A-91BA-7D68495325A9}">
  <dimension ref="A2:N29"/>
  <sheetViews>
    <sheetView tabSelected="1" zoomScale="51" zoomScaleNormal="63" workbookViewId="0">
      <selection activeCell="E7" sqref="E7"/>
    </sheetView>
  </sheetViews>
  <sheetFormatPr defaultRowHeight="14.4" x14ac:dyDescent="0.3"/>
  <cols>
    <col min="3" max="3" width="18.21875" bestFit="1" customWidth="1"/>
    <col min="4" max="4" width="16.33203125" bestFit="1" customWidth="1"/>
    <col min="5" max="5" width="36.6640625" bestFit="1" customWidth="1"/>
    <col min="6" max="6" width="18" customWidth="1"/>
    <col min="7" max="7" width="14.109375" customWidth="1"/>
    <col min="8" max="8" width="14.77734375" customWidth="1"/>
    <col min="9" max="9" width="16.77734375" customWidth="1"/>
    <col min="10" max="10" width="16.5546875" customWidth="1"/>
    <col min="11" max="11" width="19.5546875" customWidth="1"/>
    <col min="12" max="12" width="52.77734375" bestFit="1" customWidth="1"/>
    <col min="13" max="13" width="7.109375" bestFit="1" customWidth="1"/>
    <col min="14" max="14" width="22.88671875" bestFit="1" customWidth="1"/>
  </cols>
  <sheetData>
    <row r="2" spans="1:14" x14ac:dyDescent="0.3">
      <c r="C2" s="31" t="str" cm="1">
        <f t="array" ref="C2:M4">TRANSPOSE(Table1[#All])</f>
        <v>Name</v>
      </c>
      <c r="D2" s="30" t="str">
        <v>John Doe</v>
      </c>
      <c r="E2" s="30" t="str">
        <v>Jane Smith</v>
      </c>
      <c r="F2" s="30" t="str">
        <v>Alex Brown</v>
      </c>
      <c r="G2" s="30" t="str">
        <v>Emma White</v>
      </c>
      <c r="H2" s="30" t="str">
        <v>Olivia Green</v>
      </c>
      <c r="I2" s="30" t="str">
        <v>William Gray</v>
      </c>
      <c r="J2" s="30" t="str">
        <v>Ava Black</v>
      </c>
      <c r="K2" s="30" t="str">
        <v>Ryan Blue</v>
      </c>
      <c r="L2" s="30" t="str">
        <v>Zoe White</v>
      </c>
      <c r="M2" s="30" t="str">
        <v>Lily Brown</v>
      </c>
      <c r="N2" s="30"/>
    </row>
    <row r="3" spans="1:14" ht="23.4" x14ac:dyDescent="0.45">
      <c r="A3" s="63" t="s">
        <v>74</v>
      </c>
      <c r="B3" s="64"/>
      <c r="C3" s="31" t="str">
        <v>Department ID</v>
      </c>
      <c r="D3" s="30" t="str">
        <v>D01</v>
      </c>
      <c r="E3" s="30" t="str">
        <v>D02</v>
      </c>
      <c r="F3" s="30" t="str">
        <v>D03</v>
      </c>
      <c r="G3" s="30" t="str">
        <v>D04</v>
      </c>
      <c r="H3" s="30" t="str">
        <v>D05</v>
      </c>
      <c r="I3" s="30" t="str">
        <v>D01</v>
      </c>
      <c r="J3" s="30" t="str">
        <v>D02</v>
      </c>
      <c r="K3" s="30" t="str">
        <v>D03</v>
      </c>
      <c r="L3" s="30" t="str">
        <v>D04</v>
      </c>
      <c r="M3" s="30" t="str">
        <v>D05</v>
      </c>
      <c r="N3" s="30"/>
    </row>
    <row r="4" spans="1:14" x14ac:dyDescent="0.3">
      <c r="C4" s="31" t="str">
        <v>Class Teacher</v>
      </c>
      <c r="D4" s="30" t="str">
        <v>Mr. Smith</v>
      </c>
      <c r="E4" s="30" t="str">
        <v>Mrs. Johnson</v>
      </c>
      <c r="F4" s="30" t="str">
        <v>Mr. Taylor</v>
      </c>
      <c r="G4" s="30" t="str">
        <v>Mrs. Lee</v>
      </c>
      <c r="H4" s="30" t="str">
        <v>Mr. Clark</v>
      </c>
      <c r="I4" s="30" t="str">
        <v>Ms. Roberts</v>
      </c>
      <c r="J4" s="30" t="str">
        <v>Mr. Edwards</v>
      </c>
      <c r="K4" s="30" t="str">
        <v>Mrs. Kelly</v>
      </c>
      <c r="L4" s="30" t="str">
        <v>Mr. Miller</v>
      </c>
      <c r="M4" s="30" t="str">
        <v>Mrs. Turner</v>
      </c>
      <c r="N4" s="30"/>
    </row>
    <row r="7" spans="1:14" ht="15.6" x14ac:dyDescent="0.3">
      <c r="A7" s="63" t="s">
        <v>75</v>
      </c>
      <c r="B7" s="64"/>
      <c r="C7" s="33" t="str" cm="1">
        <f t="array" ref="C7:H8">TRANSPOSE('Raw Data'!E2:F7)</f>
        <v>Department ID</v>
      </c>
      <c r="D7" s="32" t="str">
        <v>D01</v>
      </c>
      <c r="E7" s="32" t="str">
        <v>D02</v>
      </c>
      <c r="F7" s="32" t="str">
        <v>D03</v>
      </c>
      <c r="G7" s="32" t="str">
        <v>D04</v>
      </c>
      <c r="H7" s="32" t="str">
        <v>D05</v>
      </c>
      <c r="I7" s="32"/>
    </row>
    <row r="8" spans="1:14" ht="15.6" x14ac:dyDescent="0.3">
      <c r="A8" s="52"/>
      <c r="B8" s="64"/>
      <c r="C8" s="33" t="str">
        <v>HOD</v>
      </c>
      <c r="D8" s="32" t="str">
        <v>Dr. Emily Roberts</v>
      </c>
      <c r="E8" s="32" t="str">
        <v>Prof. Mark Johnson</v>
      </c>
      <c r="F8" s="32" t="str">
        <v>Ms. Claire Bennett</v>
      </c>
      <c r="G8" s="32" t="str">
        <v>Dr. James Mitchell</v>
      </c>
      <c r="H8" s="32" t="str">
        <v>Mrs. Sophia Harris</v>
      </c>
      <c r="I8" s="32"/>
    </row>
    <row r="17" spans="3:14" ht="23.4" x14ac:dyDescent="0.45">
      <c r="C17" s="63" t="s">
        <v>76</v>
      </c>
      <c r="D17" s="63"/>
      <c r="E17" s="63"/>
      <c r="K17" s="63" t="s">
        <v>77</v>
      </c>
      <c r="L17" s="63"/>
      <c r="M17" s="63"/>
      <c r="N17" s="63"/>
    </row>
    <row r="19" spans="3:14" ht="28.8" x14ac:dyDescent="0.3">
      <c r="C19" s="4" t="s">
        <v>11</v>
      </c>
      <c r="D19" s="4" t="s">
        <v>0</v>
      </c>
      <c r="E19" s="4" t="s">
        <v>56</v>
      </c>
      <c r="F19" s="34"/>
      <c r="G19" s="34"/>
      <c r="L19" s="22" t="s">
        <v>56</v>
      </c>
      <c r="M19" s="21" t="s">
        <v>65</v>
      </c>
      <c r="N19" s="21" t="s">
        <v>62</v>
      </c>
    </row>
    <row r="20" spans="3:14" x14ac:dyDescent="0.3">
      <c r="C20" s="3" t="s">
        <v>2</v>
      </c>
      <c r="D20" s="4" t="s">
        <v>1</v>
      </c>
      <c r="E20" s="3" t="s">
        <v>12</v>
      </c>
      <c r="F20" s="34"/>
      <c r="G20" s="34"/>
      <c r="L20" s="23" t="s">
        <v>12</v>
      </c>
      <c r="M20" s="19">
        <v>5</v>
      </c>
      <c r="N20" s="19">
        <v>3</v>
      </c>
    </row>
    <row r="21" spans="3:14" ht="28.8" x14ac:dyDescent="0.3">
      <c r="C21" s="3" t="s">
        <v>6</v>
      </c>
      <c r="D21" s="4" t="s">
        <v>3</v>
      </c>
      <c r="E21" s="3" t="s">
        <v>14</v>
      </c>
      <c r="F21" s="34"/>
      <c r="G21" s="34"/>
      <c r="L21" s="24" t="s">
        <v>14</v>
      </c>
      <c r="M21" s="19">
        <v>8</v>
      </c>
      <c r="N21" s="19">
        <v>4</v>
      </c>
    </row>
    <row r="22" spans="3:14" x14ac:dyDescent="0.3">
      <c r="C22" s="3" t="s">
        <v>4</v>
      </c>
      <c r="D22" s="4" t="s">
        <v>5</v>
      </c>
      <c r="E22" s="3" t="s">
        <v>13</v>
      </c>
      <c r="F22" s="34"/>
      <c r="G22" s="34"/>
      <c r="L22" s="23" t="s">
        <v>13</v>
      </c>
      <c r="M22" s="19">
        <v>7</v>
      </c>
      <c r="N22" s="19">
        <v>3</v>
      </c>
    </row>
    <row r="23" spans="3:14" ht="43.2" x14ac:dyDescent="0.3">
      <c r="C23" s="3" t="s">
        <v>8</v>
      </c>
      <c r="D23" s="4" t="s">
        <v>7</v>
      </c>
      <c r="E23" s="3" t="s">
        <v>15</v>
      </c>
      <c r="F23" s="34"/>
      <c r="G23" s="34"/>
      <c r="L23" s="24" t="s">
        <v>15</v>
      </c>
      <c r="M23" s="19">
        <v>2</v>
      </c>
      <c r="N23" s="19">
        <v>4</v>
      </c>
    </row>
    <row r="24" spans="3:14" ht="28.8" x14ac:dyDescent="0.3">
      <c r="C24" s="3" t="s">
        <v>10</v>
      </c>
      <c r="D24" s="4" t="s">
        <v>9</v>
      </c>
      <c r="E24" s="3" t="s">
        <v>16</v>
      </c>
      <c r="F24" s="34"/>
      <c r="G24" s="34"/>
      <c r="L24" s="23" t="s">
        <v>16</v>
      </c>
      <c r="M24" s="19">
        <v>3</v>
      </c>
      <c r="N24" s="19">
        <v>3</v>
      </c>
    </row>
    <row r="25" spans="3:14" ht="28.8" x14ac:dyDescent="0.3">
      <c r="C25" s="3" t="s">
        <v>47</v>
      </c>
      <c r="D25" s="4" t="s">
        <v>46</v>
      </c>
      <c r="E25" s="3" t="s">
        <v>57</v>
      </c>
      <c r="F25" s="34"/>
      <c r="G25" s="34"/>
      <c r="L25" s="24" t="s">
        <v>57</v>
      </c>
      <c r="M25" s="19">
        <v>9</v>
      </c>
      <c r="N25" s="19">
        <v>3</v>
      </c>
    </row>
    <row r="26" spans="3:14" ht="28.8" x14ac:dyDescent="0.3">
      <c r="C26" s="3" t="s">
        <v>49</v>
      </c>
      <c r="D26" s="4" t="s">
        <v>48</v>
      </c>
      <c r="E26" s="3" t="s">
        <v>58</v>
      </c>
      <c r="F26" s="34"/>
      <c r="G26" s="34"/>
      <c r="L26" s="9" t="s">
        <v>58</v>
      </c>
      <c r="M26" s="19">
        <v>1</v>
      </c>
      <c r="N26" s="19">
        <v>4</v>
      </c>
    </row>
    <row r="27" spans="3:14" ht="28.8" x14ac:dyDescent="0.3">
      <c r="C27" s="3" t="s">
        <v>51</v>
      </c>
      <c r="D27" s="4" t="s">
        <v>50</v>
      </c>
      <c r="E27" s="3" t="s">
        <v>59</v>
      </c>
      <c r="F27" s="34"/>
      <c r="G27" s="34"/>
      <c r="L27" s="26" t="s">
        <v>59</v>
      </c>
      <c r="M27" s="19">
        <v>10</v>
      </c>
      <c r="N27" s="19">
        <v>3</v>
      </c>
    </row>
    <row r="28" spans="3:14" x14ac:dyDescent="0.3">
      <c r="C28" s="3" t="s">
        <v>53</v>
      </c>
      <c r="D28" s="4" t="s">
        <v>52</v>
      </c>
      <c r="E28" s="3" t="s">
        <v>60</v>
      </c>
      <c r="F28" s="34"/>
      <c r="G28" s="34"/>
      <c r="L28" s="25" t="s">
        <v>60</v>
      </c>
      <c r="M28" s="19">
        <v>4</v>
      </c>
      <c r="N28" s="19">
        <v>4</v>
      </c>
    </row>
    <row r="29" spans="3:14" ht="28.8" x14ac:dyDescent="0.3">
      <c r="C29" s="3" t="s">
        <v>55</v>
      </c>
      <c r="D29" s="4" t="s">
        <v>54</v>
      </c>
      <c r="E29" s="3" t="s">
        <v>61</v>
      </c>
      <c r="F29" s="34"/>
      <c r="G29" s="34"/>
      <c r="L29" s="10" t="s">
        <v>61</v>
      </c>
      <c r="M29" s="19">
        <v>6</v>
      </c>
      <c r="N29" s="19">
        <v>3</v>
      </c>
    </row>
  </sheetData>
  <mergeCells count="4">
    <mergeCell ref="A3:B3"/>
    <mergeCell ref="A7:B8"/>
    <mergeCell ref="C17:E17"/>
    <mergeCell ref="K17:N17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 Q1-VLOOKUP</vt:lpstr>
      <vt:lpstr>Q2-HLOOKUP</vt:lpstr>
      <vt:lpstr> Horizontal &amp; vertcal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ius15261526@gmail.com</dc:creator>
  <cp:lastModifiedBy>ius15261526@gmail.com</cp:lastModifiedBy>
  <dcterms:created xsi:type="dcterms:W3CDTF">2025-11-10T06:07:07Z</dcterms:created>
  <dcterms:modified xsi:type="dcterms:W3CDTF">2025-11-22T11:29:06Z</dcterms:modified>
</cp:coreProperties>
</file>